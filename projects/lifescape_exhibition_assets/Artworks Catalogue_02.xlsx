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xampp\htdocs\README\projects\lifescape_exhibition_assets\"/>
    </mc:Choice>
  </mc:AlternateContent>
  <xr:revisionPtr revIDLastSave="0" documentId="13_ncr:1_{B8178F03-A991-4318-A596-F1E3D468FF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F11" i="1"/>
  <c r="F13" i="1" s="1"/>
  <c r="I4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 l="1"/>
  <c r="J4" i="1"/>
  <c r="J11" i="1" s="1"/>
</calcChain>
</file>

<file path=xl/sharedStrings.xml><?xml version="1.0" encoding="utf-8"?>
<sst xmlns="http://schemas.openxmlformats.org/spreadsheetml/2006/main" count="52" uniqueCount="39">
  <si>
    <t>Nr</t>
  </si>
  <si>
    <t>Artist</t>
  </si>
  <si>
    <t>Artwork</t>
  </si>
  <si>
    <t>size cm (w x h)</t>
  </si>
  <si>
    <t>m&amp;t, YYYY</t>
  </si>
  <si>
    <t>price</t>
  </si>
  <si>
    <t>sold</t>
  </si>
  <si>
    <t>notes</t>
  </si>
  <si>
    <t>André Clements</t>
  </si>
  <si>
    <t>Anqa</t>
  </si>
  <si>
    <t>42 x 55</t>
  </si>
  <si>
    <t>Archival pigment print, parametric authorship (layered computational interventions with original photograph), 2025.</t>
  </si>
  <si>
    <t>y</t>
  </si>
  <si>
    <t>30 x 42</t>
  </si>
  <si>
    <t>Diane Victor</t>
  </si>
  <si>
    <t>Chicken</t>
  </si>
  <si>
    <t>42 x 59</t>
  </si>
  <si>
    <t>Drawing on paper</t>
  </si>
  <si>
    <t>(title forgotten)</t>
  </si>
  <si>
    <t>61 x 86</t>
  </si>
  <si>
    <t>Kaz Clements aka Ro4dblock</t>
  </si>
  <si>
    <t>Untitled (blue pink white)</t>
  </si>
  <si>
    <t>Digital Illustration, 2025</t>
  </si>
  <si>
    <t>Tokie</t>
  </si>
  <si>
    <t>Kyrie Levington</t>
  </si>
  <si>
    <t>Movement in Time</t>
  </si>
  <si>
    <t>40 x 50</t>
  </si>
  <si>
    <t>Oil on canvas</t>
  </si>
  <si>
    <t>-</t>
  </si>
  <si>
    <t>to pay artist</t>
  </si>
  <si>
    <t>Xavier Huyberechts</t>
  </si>
  <si>
    <t>Witklipfontein rocks</t>
  </si>
  <si>
    <t>100 x 70</t>
  </si>
  <si>
    <t>Charcoal on paper, 2019</t>
  </si>
  <si>
    <t>André's weapon</t>
  </si>
  <si>
    <t>50 x 70</t>
  </si>
  <si>
    <t>Charcoal on Fabriano paper, 2022</t>
  </si>
  <si>
    <t>due 27Boxes</t>
  </si>
  <si>
    <t>due Artists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</si>
</sst>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22222"/>
      <name val="Arial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0" fontId="4" fillId="0" borderId="0" xfId="0" applyFont="1" applyAlignment="1">
      <alignment horizontal="center"/>
    </xf>
    <xf numFmtId="164" fontId="2" fillId="0" borderId="0" xfId="0" applyNumberFormat="1" applyFon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3"/>
  <sheetViews>
    <sheetView tabSelected="1" workbookViewId="0">
      <selection activeCell="K28" sqref="K28"/>
    </sheetView>
  </sheetViews>
  <sheetFormatPr defaultColWidth="12.5703125" defaultRowHeight="15.75" customHeight="1" x14ac:dyDescent="0.2"/>
  <cols>
    <col min="1" max="1" width="5.28515625" customWidth="1"/>
    <col min="2" max="2" width="21.42578125" customWidth="1"/>
    <col min="3" max="3" width="23.42578125" customWidth="1"/>
    <col min="4" max="4" width="0" hidden="1" customWidth="1"/>
    <col min="5" max="5" width="35.140625" hidden="1" customWidth="1"/>
    <col min="6" max="6" width="14.28515625" customWidth="1"/>
    <col min="7" max="7" width="6.85546875" customWidth="1"/>
    <col min="8" max="8" width="5.85546875" customWidth="1"/>
    <col min="9" max="9" width="26.1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</v>
      </c>
      <c r="J1" s="5" t="s">
        <v>38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s="1"/>
      <c r="B2" s="2" t="s">
        <v>24</v>
      </c>
      <c r="C2" s="1"/>
      <c r="D2" s="1"/>
      <c r="E2" s="1"/>
      <c r="F2" s="1">
        <v>600</v>
      </c>
      <c r="G2" s="1"/>
      <c r="H2" s="1"/>
      <c r="I2" s="4">
        <f t="shared" ref="I2:I3" si="0">F2*0.25</f>
        <v>150</v>
      </c>
      <c r="J2" s="4">
        <f t="shared" ref="J2:J3" si="1">F2-I2</f>
        <v>450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A3" s="2">
        <v>25</v>
      </c>
      <c r="B3" s="2" t="s">
        <v>24</v>
      </c>
      <c r="C3" s="3" t="s">
        <v>25</v>
      </c>
      <c r="D3" s="2" t="s">
        <v>26</v>
      </c>
      <c r="E3" s="3" t="s">
        <v>27</v>
      </c>
      <c r="F3" s="6">
        <v>3500</v>
      </c>
      <c r="G3" s="2" t="s">
        <v>28</v>
      </c>
      <c r="H3" s="2" t="s">
        <v>29</v>
      </c>
      <c r="I3" s="4"/>
      <c r="J3" s="4"/>
    </row>
    <row r="4" spans="1:29" x14ac:dyDescent="0.2">
      <c r="A4" s="2">
        <v>4</v>
      </c>
      <c r="B4" s="2" t="s">
        <v>8</v>
      </c>
      <c r="C4" s="2" t="s">
        <v>9</v>
      </c>
      <c r="D4" s="2" t="s">
        <v>10</v>
      </c>
      <c r="E4" s="2" t="s">
        <v>11</v>
      </c>
      <c r="F4" s="6">
        <v>3333.33</v>
      </c>
      <c r="G4" s="2" t="s">
        <v>12</v>
      </c>
      <c r="I4" s="4">
        <f t="shared" ref="I4:I10" si="2">F4*0.25</f>
        <v>833.33249999999998</v>
      </c>
      <c r="J4" s="4">
        <f t="shared" ref="J4:J10" si="3">F4-I4</f>
        <v>2499.9974999999999</v>
      </c>
    </row>
    <row r="5" spans="1:29" x14ac:dyDescent="0.2">
      <c r="A5" s="2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6">
        <v>2000</v>
      </c>
      <c r="G5" s="2" t="s">
        <v>12</v>
      </c>
      <c r="I5" s="4">
        <f t="shared" si="2"/>
        <v>500</v>
      </c>
      <c r="J5" s="4">
        <f t="shared" si="3"/>
        <v>1500</v>
      </c>
    </row>
    <row r="6" spans="1:29" x14ac:dyDescent="0.2">
      <c r="A6" s="2">
        <v>14</v>
      </c>
      <c r="B6" s="2" t="s">
        <v>14</v>
      </c>
      <c r="C6" s="2" t="s">
        <v>18</v>
      </c>
      <c r="D6" s="2" t="s">
        <v>19</v>
      </c>
      <c r="E6" s="2" t="s">
        <v>17</v>
      </c>
      <c r="F6" s="6">
        <v>2666.66</v>
      </c>
      <c r="G6" s="2" t="s">
        <v>12</v>
      </c>
      <c r="I6" s="4">
        <f t="shared" si="2"/>
        <v>666.66499999999996</v>
      </c>
      <c r="J6" s="4">
        <f t="shared" si="3"/>
        <v>1999.9949999999999</v>
      </c>
    </row>
    <row r="7" spans="1:29" x14ac:dyDescent="0.2">
      <c r="A7" s="2">
        <v>21</v>
      </c>
      <c r="B7" s="2" t="s">
        <v>20</v>
      </c>
      <c r="C7" s="2" t="s">
        <v>21</v>
      </c>
      <c r="D7" s="2" t="s">
        <v>13</v>
      </c>
      <c r="E7" s="2" t="s">
        <v>22</v>
      </c>
      <c r="F7" s="6">
        <v>444</v>
      </c>
      <c r="G7" s="2" t="s">
        <v>12</v>
      </c>
      <c r="I7" s="4">
        <f t="shared" si="2"/>
        <v>111</v>
      </c>
      <c r="J7" s="4">
        <f t="shared" si="3"/>
        <v>333</v>
      </c>
    </row>
    <row r="8" spans="1:29" x14ac:dyDescent="0.2">
      <c r="A8" s="2">
        <v>22</v>
      </c>
      <c r="B8" s="2" t="s">
        <v>20</v>
      </c>
      <c r="C8" s="2" t="s">
        <v>23</v>
      </c>
      <c r="D8" s="2" t="s">
        <v>13</v>
      </c>
      <c r="E8" s="2" t="s">
        <v>22</v>
      </c>
      <c r="F8" s="6">
        <v>444</v>
      </c>
      <c r="G8" s="2" t="s">
        <v>12</v>
      </c>
      <c r="I8" s="4">
        <f t="shared" si="2"/>
        <v>111</v>
      </c>
      <c r="J8" s="4">
        <f t="shared" si="3"/>
        <v>333</v>
      </c>
    </row>
    <row r="9" spans="1:29" x14ac:dyDescent="0.2">
      <c r="A9" s="2">
        <v>35</v>
      </c>
      <c r="B9" s="2" t="s">
        <v>30</v>
      </c>
      <c r="C9" s="2" t="s">
        <v>31</v>
      </c>
      <c r="D9" s="2" t="s">
        <v>32</v>
      </c>
      <c r="E9" s="2" t="s">
        <v>33</v>
      </c>
      <c r="F9" s="6">
        <v>3333.33</v>
      </c>
      <c r="G9" s="2" t="s">
        <v>12</v>
      </c>
      <c r="I9" s="4">
        <f t="shared" si="2"/>
        <v>833.33249999999998</v>
      </c>
      <c r="J9" s="4">
        <f t="shared" si="3"/>
        <v>2499.9974999999999</v>
      </c>
    </row>
    <row r="10" spans="1:29" x14ac:dyDescent="0.2">
      <c r="A10" s="2">
        <v>36</v>
      </c>
      <c r="B10" s="2" t="s">
        <v>30</v>
      </c>
      <c r="C10" s="2" t="s">
        <v>34</v>
      </c>
      <c r="D10" s="2" t="s">
        <v>35</v>
      </c>
      <c r="E10" s="2" t="s">
        <v>36</v>
      </c>
      <c r="F10" s="6">
        <v>3333.33</v>
      </c>
      <c r="G10" s="2" t="s">
        <v>12</v>
      </c>
      <c r="I10" s="4">
        <f t="shared" si="2"/>
        <v>833.33249999999998</v>
      </c>
      <c r="J10" s="4">
        <f t="shared" si="3"/>
        <v>2499.9974999999999</v>
      </c>
    </row>
    <row r="11" spans="1:29" ht="15.75" customHeight="1" x14ac:dyDescent="0.2">
      <c r="A11" s="7"/>
      <c r="B11" s="7"/>
      <c r="C11" s="7"/>
      <c r="D11" s="7"/>
      <c r="E11" s="7"/>
      <c r="F11" s="8">
        <f>SUM(F3:F10)</f>
        <v>19054.650000000001</v>
      </c>
      <c r="G11" s="7"/>
      <c r="H11" s="7"/>
      <c r="I11" s="8">
        <f>SUM(I3:I10)</f>
        <v>3888.6624999999999</v>
      </c>
      <c r="J11" s="8">
        <f>SUM(J3:J10)</f>
        <v>11665.987499999999</v>
      </c>
    </row>
    <row r="13" spans="1:29" ht="15.75" customHeight="1" x14ac:dyDescent="0.2">
      <c r="F13" s="4">
        <f>F11-F3</f>
        <v>15554.650000000001</v>
      </c>
    </row>
  </sheetData>
  <sortState xmlns:xlrd2="http://schemas.microsoft.com/office/spreadsheetml/2017/richdata2" ref="A2:H10">
    <sortCondition ref="G3:G10"/>
    <sortCondition ref="B3:B10"/>
  </sortState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Clements</cp:lastModifiedBy>
  <dcterms:modified xsi:type="dcterms:W3CDTF">2025-10-14T07:08:45Z</dcterms:modified>
</cp:coreProperties>
</file>